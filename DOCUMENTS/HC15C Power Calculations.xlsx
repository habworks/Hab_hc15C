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20" windowWidth="24240" windowHeight="137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34" i="1"/>
  <c r="B29"/>
  <c r="B28"/>
  <c r="B27"/>
  <c r="B24"/>
  <c r="B30" s="1"/>
  <c r="B23"/>
  <c r="B22"/>
  <c r="B21"/>
  <c r="B31" l="1"/>
  <c r="B32" s="1"/>
  <c r="B37" s="1"/>
  <c r="B38" s="1"/>
</calcChain>
</file>

<file path=xl/sharedStrings.xml><?xml version="1.0" encoding="utf-8"?>
<sst xmlns="http://schemas.openxmlformats.org/spreadsheetml/2006/main" count="31" uniqueCount="31">
  <si>
    <t>Current at FULL Back Light (A)</t>
  </si>
  <si>
    <t>Current at 70% Back Light (A)</t>
  </si>
  <si>
    <t>Current at 0% Back Light (A)</t>
  </si>
  <si>
    <t>Time to Deep Sleep (s)</t>
  </si>
  <si>
    <t>Time to Back Light Time Out (s)</t>
  </si>
  <si>
    <t>TIME PARAMETERS</t>
  </si>
  <si>
    <t>CALCULATIONS</t>
  </si>
  <si>
    <t>Current in Deep Sleep (A)</t>
  </si>
  <si>
    <t>DEVICE SETTINGS</t>
  </si>
  <si>
    <t>USER USAGE</t>
  </si>
  <si>
    <t>Time at Full Back Light (s)</t>
  </si>
  <si>
    <t>Time at 70% Back Light (s)</t>
  </si>
  <si>
    <t>Time at 30% Back Light (s)</t>
  </si>
  <si>
    <t>Time at 0% Back Light (s)</t>
  </si>
  <si>
    <t>Current at 30% Back Light (A)</t>
  </si>
  <si>
    <t>TIME</t>
  </si>
  <si>
    <t>ENERGY</t>
  </si>
  <si>
    <t>EXPECTED BATTERY LIFE (hr)</t>
  </si>
  <si>
    <t>Battery Capacity (Ah)</t>
  </si>
  <si>
    <t>TOTAL ENERGY USAGE (Ah)</t>
  </si>
  <si>
    <t>Energy for Full Backlight (Ah)</t>
  </si>
  <si>
    <t>Energy for 70% Backlight (Ah)</t>
  </si>
  <si>
    <t>Energy for 30% Backlight (Ah)</t>
  </si>
  <si>
    <t>Energy for 0% Backlight (Ah)</t>
  </si>
  <si>
    <t xml:space="preserve">TOTAL ON TIME ENERGY FOR 1min (Ah) </t>
  </si>
  <si>
    <t xml:space="preserve">TOTAL ON TIME ENERGY  (Ah) </t>
  </si>
  <si>
    <t>TOTAL DEEP SLEEP ENERGY (Ah)</t>
  </si>
  <si>
    <t>Total On time in minutes (min)</t>
  </si>
  <si>
    <t>Total Sleep time in minutes (min)</t>
  </si>
  <si>
    <t>FIXED DO NOT EDIT FROM 60s</t>
  </si>
  <si>
    <t>MEASURED POWER PARAMETERS</t>
  </si>
</sst>
</file>

<file path=xl/styles.xml><?xml version="1.0" encoding="utf-8"?>
<styleSheet xmlns="http://schemas.openxmlformats.org/spreadsheetml/2006/main">
  <numFmts count="1">
    <numFmt numFmtId="164" formatCode="0.000E+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38"/>
  <sheetViews>
    <sheetView tabSelected="1" workbookViewId="0">
      <selection activeCell="B7" sqref="B7"/>
    </sheetView>
  </sheetViews>
  <sheetFormatPr defaultRowHeight="15"/>
  <cols>
    <col min="1" max="1" width="40.7109375" customWidth="1"/>
    <col min="2" max="2" width="12" style="3" bestFit="1" customWidth="1"/>
  </cols>
  <sheetData>
    <row r="3" spans="1:3">
      <c r="A3" s="1" t="s">
        <v>5</v>
      </c>
    </row>
    <row r="4" spans="1:3">
      <c r="A4" s="1" t="s">
        <v>9</v>
      </c>
    </row>
    <row r="5" spans="1:3">
      <c r="A5" t="s">
        <v>27</v>
      </c>
      <c r="B5" s="5">
        <v>60</v>
      </c>
    </row>
    <row r="6" spans="1:3">
      <c r="A6" t="s">
        <v>28</v>
      </c>
      <c r="B6" s="5">
        <v>120</v>
      </c>
    </row>
    <row r="7" spans="1:3">
      <c r="A7" s="1" t="s">
        <v>8</v>
      </c>
      <c r="B7" s="5"/>
    </row>
    <row r="8" spans="1:3">
      <c r="A8" t="s">
        <v>4</v>
      </c>
      <c r="B8" s="5">
        <v>20</v>
      </c>
    </row>
    <row r="9" spans="1:3">
      <c r="A9" s="6" t="s">
        <v>3</v>
      </c>
      <c r="B9" s="7">
        <v>60</v>
      </c>
      <c r="C9" s="6" t="s">
        <v>29</v>
      </c>
    </row>
    <row r="11" spans="1:3">
      <c r="A11" s="1" t="s">
        <v>30</v>
      </c>
    </row>
    <row r="12" spans="1:3">
      <c r="A12" t="s">
        <v>0</v>
      </c>
      <c r="B12" s="3">
        <v>3.3000000000000002E-2</v>
      </c>
    </row>
    <row r="13" spans="1:3">
      <c r="A13" t="s">
        <v>1</v>
      </c>
      <c r="B13" s="3">
        <v>0.03</v>
      </c>
    </row>
    <row r="14" spans="1:3">
      <c r="A14" t="s">
        <v>14</v>
      </c>
      <c r="B14" s="3">
        <v>2.5999999999999999E-2</v>
      </c>
    </row>
    <row r="15" spans="1:3">
      <c r="A15" t="s">
        <v>2</v>
      </c>
      <c r="B15" s="3">
        <v>2.1999999999999999E-2</v>
      </c>
    </row>
    <row r="16" spans="1:3">
      <c r="A16" t="s">
        <v>7</v>
      </c>
      <c r="B16" s="3">
        <v>5.0000000000000001E-3</v>
      </c>
    </row>
    <row r="17" spans="1:2">
      <c r="A17" t="s">
        <v>18</v>
      </c>
      <c r="B17" s="3">
        <v>1</v>
      </c>
    </row>
    <row r="19" spans="1:2">
      <c r="A19" s="1" t="s">
        <v>6</v>
      </c>
    </row>
    <row r="20" spans="1:2">
      <c r="A20" s="1" t="s">
        <v>15</v>
      </c>
    </row>
    <row r="21" spans="1:2">
      <c r="A21" t="s">
        <v>10</v>
      </c>
      <c r="B21" s="3">
        <f>(B8/3)</f>
        <v>6.666666666666667</v>
      </c>
    </row>
    <row r="22" spans="1:2">
      <c r="A22" t="s">
        <v>11</v>
      </c>
      <c r="B22" s="3">
        <f>(B8/3)</f>
        <v>6.666666666666667</v>
      </c>
    </row>
    <row r="23" spans="1:2">
      <c r="A23" t="s">
        <v>12</v>
      </c>
      <c r="B23" s="3">
        <f>(B8/3)</f>
        <v>6.666666666666667</v>
      </c>
    </row>
    <row r="24" spans="1:2">
      <c r="A24" t="s">
        <v>13</v>
      </c>
      <c r="B24" s="3">
        <f>(B9-B8)</f>
        <v>40</v>
      </c>
    </row>
    <row r="26" spans="1:2">
      <c r="A26" s="1" t="s">
        <v>16</v>
      </c>
    </row>
    <row r="27" spans="1:2">
      <c r="A27" t="s">
        <v>20</v>
      </c>
      <c r="B27" s="3">
        <f>B12*(B21/3600)</f>
        <v>6.1111111111111121E-5</v>
      </c>
    </row>
    <row r="28" spans="1:2">
      <c r="A28" t="s">
        <v>21</v>
      </c>
      <c r="B28" s="3">
        <f>B13*(B22/3600)</f>
        <v>5.5555555555555558E-5</v>
      </c>
    </row>
    <row r="29" spans="1:2">
      <c r="A29" t="s">
        <v>22</v>
      </c>
      <c r="B29" s="3">
        <f>B14*(B23/3600)</f>
        <v>4.8148148148148148E-5</v>
      </c>
    </row>
    <row r="30" spans="1:2">
      <c r="A30" t="s">
        <v>23</v>
      </c>
      <c r="B30" s="3">
        <f>B15*(B24/3600)</f>
        <v>2.4444444444444443E-4</v>
      </c>
    </row>
    <row r="31" spans="1:2">
      <c r="A31" s="1" t="s">
        <v>24</v>
      </c>
      <c r="B31" s="3">
        <f>SUM(B27:B30)</f>
        <v>4.0925925925925928E-4</v>
      </c>
    </row>
    <row r="32" spans="1:2">
      <c r="A32" s="2" t="s">
        <v>25</v>
      </c>
      <c r="B32" s="3">
        <f>B31*B5</f>
        <v>2.4555555555555556E-2</v>
      </c>
    </row>
    <row r="34" spans="1:2">
      <c r="A34" s="2" t="s">
        <v>26</v>
      </c>
      <c r="B34" s="3">
        <f>(B6/60)*B16</f>
        <v>0.01</v>
      </c>
    </row>
    <row r="37" spans="1:2">
      <c r="A37" s="2" t="s">
        <v>19</v>
      </c>
      <c r="B37" s="4">
        <f>B32+B34</f>
        <v>3.4555555555555555E-2</v>
      </c>
    </row>
    <row r="38" spans="1:2">
      <c r="A38" s="2" t="s">
        <v>17</v>
      </c>
      <c r="B38" s="4">
        <f>B17/(B37)</f>
        <v>28.938906752411576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 S. Collector</dc:creator>
  <cp:lastModifiedBy>Hab</cp:lastModifiedBy>
  <dcterms:created xsi:type="dcterms:W3CDTF">2012-07-26T15:40:21Z</dcterms:created>
  <dcterms:modified xsi:type="dcterms:W3CDTF">2012-07-29T14:13:12Z</dcterms:modified>
</cp:coreProperties>
</file>